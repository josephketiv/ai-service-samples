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7b0839c08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report" sheetId="1" r:id="R80862fdef012460c"/>
    <x:sheet xmlns:r="http://schemas.openxmlformats.org/officeDocument/2006/relationships" name="Original input" sheetId="2" r:id="Rf246ac4ce4bf4458"/>
    <x:sheet xmlns:r="http://schemas.openxmlformats.org/officeDocument/2006/relationships" name="Changes and assumptions" sheetId="3" r:id="R54a0d5cdb8e7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"/>
    <x:numFmt numFmtId="202" formatCode="mm/dd/yy"/>
    <x:numFmt numFmtId="203" formatCode="@"/>
  </x:numFmts>
  <x:fonts count="6">
    <x:font>
      <x:sz val="11"/>
      <x:name val="Carlito"/>
    </x:font>
    <x:font>
      <x:sz val="10"/>
      <x:color rgb="FF243B53"/>
      <x:name val="Arial"/>
    </x:font>
    <x:font>
      <x:b/>
      <x:sz val="16"/>
      <x:color rgb="FF243B53"/>
      <x:name val="Arial"/>
    </x:font>
    <x:font>
      <x:i/>
      <x:sz val="10"/>
      <x:color rgb="FF526777"/>
      <x:name val="Arial"/>
    </x:font>
    <x:font>
      <x:b/>
      <x:sz val="10"/>
      <x:color rgb="FF243B5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5F8"/>
      </x:patternFill>
    </x:fill>
    <x:fill>
      <x:patternFill patternType="solid">
        <x:fgColor rgb="FF243B53"/>
      </x:patternFill>
    </x:fill>
  </x:fills>
  <x:borders count="2">
    <x:border/>
    <x:border>
      <x:bottom style="thin">
        <x:color rgb="FFC4CF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202" fontId="1" fillId="2" borderId="0" xfId="0" applyNumberFormat="1" applyFont="1" applyFill="1" applyBorder="1" applyAlignment="1">
      <x:alignment vertical="center" wrapText="0"/>
    </x:xf>
    <x:xf numFmtId="201" fontId="1" fillId="2" borderId="0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horizontal="center"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3" fontId="1" fillId="2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805600"/>
      </x:font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ont>
        <x:b/>
        <x:color rgb="FF9C2424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a7ead27cc4338" /><Relationship Type="http://schemas.openxmlformats.org/officeDocument/2006/relationships/theme" Target="/xl/theme/theme1.xml" Id="R3555c43d4355493b" /><Relationship Type="http://schemas.openxmlformats.org/officeDocument/2006/relationships/sharedStrings" Target="/xl/sharedStrings.xml" Id="R99bb07bb78f74900" /><Relationship Type="http://schemas.openxmlformats.org/officeDocument/2006/relationships/worksheet" Target="/xl/worksheets/sheet1.xml" Id="R80862fdef012460c" /><Relationship Type="http://schemas.openxmlformats.org/officeDocument/2006/relationships/worksheet" Target="/xl/worksheets/sheet2.xml" Id="Rf246ac4ce4bf4458" /><Relationship Type="http://schemas.openxmlformats.org/officeDocument/2006/relationships/worksheet" Target="/xl/worksheets/sheet3.xml" Id="R54a0d5cdb8e745fa" /></Relationships>
</file>

<file path=xl/tables/table1.xml><?xml version="1.0" encoding="utf-8"?>
<x:table xmlns:x="http://schemas.openxmlformats.org/spreadsheetml/2006/main" id="1" name="CleanedOrders" displayName="CleanedOrders" ref="A13:I26" headerRowCount="1" totalsRowCount="0" totalsRowShown="0">
  <x:tableColumns count="9">
    <x:tableColumn id="1" name="Source row"/>
    <x:tableColumn id="2" name="Order ID"/>
    <x:tableColumn id="3" name="Order date"/>
    <x:tableColumn id="4" name="Customer"/>
    <x:tableColumn id="5" name="Item"/>
    <x:tableColumn id="6" name="Quantity"/>
    <x:tableColumn id="7" name="Unit price"/>
    <x:tableColumn id="8" name="Line total"/>
    <x:tableColumn id="9" name="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fb9e50a9314571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8" hidden="0" customWidth="1"/>
    <x:col min="5" max="5" width="21" hidden="0" customWidth="1"/>
    <x:col min="6" max="6" width="12" hidden="0" customWidth="1"/>
    <x:col min="7" max="7" width="15" hidden="0" customWidth="1"/>
    <x:col min="8" max="8" width="18" hidden="0" customWidth="1"/>
    <x:col min="9" max="9" width="22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3" customHeight="1">
      <x:c r="A2" s="4" t="str">
        <x:v>Order report after cleanup</x:v>
      </x:c>
      <x:c r="B2" s="3"/>
      <x:c r="C2" s="3"/>
      <x:c r="D2" s="3"/>
      <x:c r="E2" s="3"/>
      <x:c r="F2" s="3"/>
      <x:c r="G2" s="3"/>
      <x:c r="H2" s="3"/>
      <x:c r="I2" s="3"/>
    </x:row>
    <x:row r="3" ht="23" customHeight="1">
      <x:c r="A3" s="6" t="str">
        <x:v>Synthetic demonstration. Two records need a source decision. Amounts are USD before tax and shipping.</x:v>
      </x:c>
      <x:c r="B3" s="5"/>
      <x:c r="C3" s="5"/>
      <x:c r="D3" s="5"/>
      <x:c r="E3" s="5"/>
      <x:c r="F3" s="5"/>
      <x:c r="G3" s="5"/>
      <x:c r="H3" s="5"/>
      <x:c r="I3" s="5"/>
    </x:row>
    <x:row r="4" ht="23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23" customHeight="1">
      <x:c r="A5" s="9" t="str">
        <x:v>Source records</x:v>
      </x:c>
      <x:c r="B5" s="9"/>
      <x:c r="C5" s="10" t="n">
        <x:f>COUNTA('Original input'!A8:A22)</x:f>
        <x:v>15</x:v>
      </x:c>
      <x:c r="D5" s="9"/>
      <x:c r="E5" s="9" t="str">
        <x:v>Ready order total</x:v>
      </x:c>
      <x:c r="F5" s="9"/>
      <x:c r="G5" s="9"/>
      <x:c r="H5" s="11" t="n">
        <x:f>SUMIFS(H14:H26,I14:I26,"Ready")</x:f>
        <x:v>387</x:v>
      </x:c>
      <x:c r="I5" s="9"/>
    </x:row>
    <x:row r="6" ht="23" customHeight="1">
      <x:c r="A6" s="3" t="str">
        <x:v>Removed duplicates</x:v>
      </x:c>
      <x:c r="B6" s="3"/>
      <x:c r="C6" s="8" t="n">
        <x:f>C5-C7</x:f>
        <x:v>2</x:v>
      </x:c>
      <x:c r="D6" s="3"/>
      <x:c r="E6" s="3" t="str">
        <x:v>Known amount under review</x:v>
      </x:c>
      <x:c r="F6" s="3"/>
      <x:c r="G6" s="3"/>
      <x:c r="H6" s="7" t="n">
        <x:f>SUM(H14:H26)-H5</x:f>
        <x:v>37.5</x:v>
      </x:c>
      <x:c r="I6" s="3"/>
    </x:row>
    <x:row r="7" ht="23" customHeight="1">
      <x:c r="A7" s="3" t="str">
        <x:v>Retained orders</x:v>
      </x:c>
      <x:c r="B7" s="3"/>
      <x:c r="C7" s="8" t="n">
        <x:f>COUNTA(B14:B26)</x:f>
        <x:v>13</x:v>
      </x:c>
      <x:c r="D7" s="3"/>
      <x:c r="E7" s="3" t="str">
        <x:v>Missing-amount orders</x:v>
      </x:c>
      <x:c r="F7" s="3"/>
      <x:c r="G7" s="3"/>
      <x:c r="H7" s="8" t="n">
        <x:f>C7-COUNT(H14:H26)</x:f>
        <x:v>1</x:v>
      </x:c>
      <x:c r="I7" s="3"/>
    </x:row>
    <x:row r="8" ht="23" customHeight="1">
      <x:c r="A8" s="3" t="str">
        <x:v>Ready orders</x:v>
      </x:c>
      <x:c r="B8" s="3"/>
      <x:c r="C8" s="8" t="n">
        <x:f>COUNTIFS(I14:I26,"Ready")</x:f>
        <x:v>11</x:v>
      </x:c>
      <x:c r="D8" s="3"/>
      <x:c r="E8" s="3"/>
      <x:c r="F8" s="3"/>
      <x:c r="G8" s="3"/>
      <x:c r="H8" s="3"/>
      <x:c r="I8" s="3"/>
    </x:row>
    <x:row r="9" ht="23" customHeight="1">
      <x:c r="A9" s="3" t="str">
        <x:v>Orders needing review</x:v>
      </x:c>
      <x:c r="B9" s="3"/>
      <x:c r="C9" s="8" t="n">
        <x:f>C7-C8</x:f>
        <x:v>2</x:v>
      </x:c>
      <x:c r="D9" s="3"/>
      <x:c r="E9" s="12" t="str">
        <x:v>The missing quantity is not treated as zero.</x:v>
      </x:c>
      <x:c r="F9" s="3"/>
      <x:c r="G9" s="3"/>
      <x:c r="H9" s="3"/>
      <x:c r="I9" s="3"/>
    </x:row>
    <x:row r="10" ht="23" customHeight="1">
      <x:c r="A10" s="3"/>
      <x:c r="B10" s="3"/>
      <x:c r="C10" s="3"/>
      <x:c r="D10" s="3"/>
      <x:c r="E10" s="3"/>
      <x:c r="F10" s="3"/>
      <x:c r="G10" s="3"/>
      <x:c r="H10" s="3"/>
      <x:c r="I10" s="3"/>
    </x:row>
    <x:row r="11" ht="23" customHeight="1">
      <x:c r="A11" s="9" t="str">
        <x:v>Retained orders. Filter Review to see unresolved records.</x:v>
      </x:c>
      <x:c r="B11" s="3"/>
      <x:c r="C11" s="3"/>
      <x:c r="D11" s="3"/>
      <x:c r="E11" s="3"/>
      <x:c r="F11" s="3"/>
      <x:c r="G11" s="3"/>
      <x:c r="H11" s="3"/>
      <x:c r="I11" s="3"/>
    </x:row>
    <x:row r="12" ht="23" customHeight="1">
      <x:c r="A12" s="3"/>
      <x:c r="B12" s="3"/>
      <x:c r="C12" s="3"/>
      <x:c r="D12" s="3"/>
      <x:c r="E12" s="3"/>
      <x:c r="F12" s="3"/>
      <x:c r="G12" s="3"/>
      <x:c r="H12" s="3"/>
      <x:c r="I12" s="3"/>
    </x:row>
    <x:row r="13" ht="28" customHeight="1">
      <x:c r="A13" s="20" t="str">
        <x:v>Source row</x:v>
      </x:c>
      <x:c r="B13" s="20" t="str">
        <x:v>Order ID</x:v>
      </x:c>
      <x:c r="C13" s="20" t="str">
        <x:v>Order date</x:v>
      </x:c>
      <x:c r="D13" s="20" t="str">
        <x:v>Customer</x:v>
      </x:c>
      <x:c r="E13" s="20" t="str">
        <x:v>Item</x:v>
      </x:c>
      <x:c r="F13" s="20" t="str">
        <x:v>Quantity</x:v>
      </x:c>
      <x:c r="G13" s="20" t="str">
        <x:v>Unit price</x:v>
      </x:c>
      <x:c r="H13" s="20" t="str">
        <x:v>Line total</x:v>
      </x:c>
      <x:c r="I13" s="20" t="str">
        <x:v>Review</x:v>
      </x:c>
    </x:row>
    <x:row r="14" ht="23" customHeight="1">
      <x:c r="A14" s="14" t="n">
        <x:v>1</x:v>
      </x:c>
      <x:c r="B14" s="14" t="str">
        <x:v>O-1001</x:v>
      </x:c>
      <x:c r="C14" s="15" t="n">
        <x:v>46278</x:v>
      </x:c>
      <x:c r="D14" s="14" t="str">
        <x:v>Shop A</x:v>
      </x:c>
      <x:c r="E14" s="14" t="str">
        <x:v>Notebook</x:v>
      </x:c>
      <x:c r="F14" s="16" t="n">
        <x:v>2</x:v>
      </x:c>
      <x:c r="G14" s="17" t="n">
        <x:v>12.5</x:v>
      </x:c>
      <x:c r="H14" s="17" t="n">
        <x:f>IF(COUNT(F14:G14)=2,F14*G14,"")</x:f>
        <x:v>25</x:v>
      </x:c>
      <x:c r="I14" s="14" t="str">
        <x:f>IF(ISNUMBER(C14),IF(ISNUMBER(F14),IF(ISNUMBER(G14),"Ready","Missing price"),"Missing quantity"),"Review date")</x:f>
        <x:v>Ready</x:v>
      </x:c>
    </x:row>
    <x:row r="15" ht="23" customHeight="1">
      <x:c r="A15" s="3" t="n">
        <x:v>2</x:v>
      </x:c>
      <x:c r="B15" s="3" t="str">
        <x:v>O-1002</x:v>
      </x:c>
      <x:c r="C15" s="13" t="n">
        <x:v>46278</x:v>
      </x:c>
      <x:c r="D15" s="3" t="str">
        <x:v>Shop B</x:v>
      </x:c>
      <x:c r="E15" s="3" t="str">
        <x:v>Pen set</x:v>
      </x:c>
      <x:c r="F15" s="8" t="n">
        <x:v>3</x:v>
      </x:c>
      <x:c r="G15" s="7" t="n">
        <x:v>8</x:v>
      </x:c>
      <x:c r="H15" s="7" t="n">
        <x:f>IF(COUNT(F15:G15)=2,F15*G15,"")</x:f>
        <x:v>24</x:v>
      </x:c>
      <x:c r="I15" s="3" t="str">
        <x:f>IF(ISNUMBER(C15),IF(ISNUMBER(F15),IF(ISNUMBER(G15),"Ready","Missing price"),"Missing quantity"),"Review date")</x:f>
        <x:v>Ready</x:v>
      </x:c>
    </x:row>
    <x:row r="16" ht="23" customHeight="1">
      <x:c r="A16" s="14" t="n">
        <x:v>3</x:v>
      </x:c>
      <x:c r="B16" s="14" t="str">
        <x:v>O-1003</x:v>
      </x:c>
      <x:c r="C16" s="15" t="n">
        <x:v>46279</x:v>
      </x:c>
      <x:c r="D16" s="14" t="str">
        <x:v>Shop C</x:v>
      </x:c>
      <x:c r="E16" s="14" t="str">
        <x:v>Desk mat</x:v>
      </x:c>
      <x:c r="F16" s="16" t="n">
        <x:v>1</x:v>
      </x:c>
      <x:c r="G16" s="17" t="n">
        <x:v>25</x:v>
      </x:c>
      <x:c r="H16" s="17" t="n">
        <x:f>IF(COUNT(F16:G16)=2,F16*G16,"")</x:f>
        <x:v>25</x:v>
      </x:c>
      <x:c r="I16" s="14" t="str">
        <x:f>IF(ISNUMBER(C16),IF(ISNUMBER(F16),IF(ISNUMBER(G16),"Ready","Missing price"),"Missing quantity"),"Review date")</x:f>
        <x:v>Ready</x:v>
      </x:c>
    </x:row>
    <x:row r="17" ht="23" customHeight="1">
      <x:c r="A17" s="3" t="n">
        <x:v>5</x:v>
      </x:c>
      <x:c r="B17" s="3" t="str">
        <x:v>O-1004</x:v>
      </x:c>
      <x:c r="C17" s="13" t="n">
        <x:v>46279</x:v>
      </x:c>
      <x:c r="D17" s="3" t="str">
        <x:v>Shop D</x:v>
      </x:c>
      <x:c r="E17" s="3" t="str">
        <x:v>Notebook</x:v>
      </x:c>
      <x:c r="F17" s="8" t="n">
        <x:v>4</x:v>
      </x:c>
      <x:c r="G17" s="7" t="n">
        <x:v>12.5</x:v>
      </x:c>
      <x:c r="H17" s="7" t="n">
        <x:f>IF(COUNT(F17:G17)=2,F17*G17,"")</x:f>
        <x:v>50</x:v>
      </x:c>
      <x:c r="I17" s="3" t="str">
        <x:f>IF(ISNUMBER(C17),IF(ISNUMBER(F17),IF(ISNUMBER(G17),"Ready","Missing price"),"Missing quantity"),"Review date")</x:f>
        <x:v>Ready</x:v>
      </x:c>
    </x:row>
    <x:row r="18" ht="23" customHeight="1">
      <x:c r="A18" s="14" t="n">
        <x:v>6</x:v>
      </x:c>
      <x:c r="B18" s="14" t="str">
        <x:v>O-1005</x:v>
      </x:c>
      <x:c r="C18" s="15" t="n">
        <x:v>46280</x:v>
      </x:c>
      <x:c r="D18" s="14" t="str">
        <x:v>Shop E</x:v>
      </x:c>
      <x:c r="E18" s="14" t="str">
        <x:v>Pen set</x:v>
      </x:c>
      <x:c r="F18" s="16" t="n">
        <x:v>5</x:v>
      </x:c>
      <x:c r="G18" s="17" t="n">
        <x:v>8</x:v>
      </x:c>
      <x:c r="H18" s="17" t="n">
        <x:f>IF(COUNT(F18:G18)=2,F18*G18,"")</x:f>
        <x:v>40</x:v>
      </x:c>
      <x:c r="I18" s="14" t="str">
        <x:f>IF(ISNUMBER(C18),IF(ISNUMBER(F18),IF(ISNUMBER(G18),"Ready","Missing price"),"Missing quantity"),"Review date")</x:f>
        <x:v>Ready</x:v>
      </x:c>
    </x:row>
    <x:row r="19" ht="23" customHeight="1">
      <x:c r="A19" s="3" t="n">
        <x:v>7</x:v>
      </x:c>
      <x:c r="B19" s="3" t="str">
        <x:v>O-1006</x:v>
      </x:c>
      <x:c r="C19" s="13" t="n">
        <x:v>46280</x:v>
      </x:c>
      <x:c r="D19" s="3" t="str">
        <x:v>Shop F</x:v>
      </x:c>
      <x:c r="E19" s="3" t="str">
        <x:v>Desk mat</x:v>
      </x:c>
      <x:c r="F19" s="8" t="n">
        <x:v>2</x:v>
      </x:c>
      <x:c r="G19" s="7" t="n">
        <x:v>25</x:v>
      </x:c>
      <x:c r="H19" s="7" t="n">
        <x:f>IF(COUNT(F19:G19)=2,F19*G19,"")</x:f>
        <x:v>50</x:v>
      </x:c>
      <x:c r="I19" s="3" t="str">
        <x:f>IF(ISNUMBER(C19),IF(ISNUMBER(F19),IF(ISNUMBER(G19),"Ready","Missing price"),"Missing quantity"),"Review date")</x:f>
        <x:v>Ready</x:v>
      </x:c>
    </x:row>
    <x:row r="20" ht="23" customHeight="1">
      <x:c r="A20" s="14" t="n">
        <x:v>8</x:v>
      </x:c>
      <x:c r="B20" s="14" t="str">
        <x:v>O-1007</x:v>
      </x:c>
      <x:c r="C20" s="15"/>
      <x:c r="D20" s="14" t="str">
        <x:v>Shop G</x:v>
      </x:c>
      <x:c r="E20" s="14" t="str">
        <x:v>Notebook</x:v>
      </x:c>
      <x:c r="F20" s="16" t="n">
        <x:v>3</x:v>
      </x:c>
      <x:c r="G20" s="17" t="n">
        <x:v>12.5</x:v>
      </x:c>
      <x:c r="H20" s="17" t="n">
        <x:f>IF(COUNT(F20:G20)=2,F20*G20,"")</x:f>
        <x:v>37.5</x:v>
      </x:c>
      <x:c r="I20" s="14" t="str">
        <x:f>IF(ISNUMBER(C20),IF(ISNUMBER(F20),IF(ISNUMBER(G20),"Ready","Missing price"),"Missing quantity"),"Review date")</x:f>
        <x:v>Review date</x:v>
      </x:c>
    </x:row>
    <x:row r="21" ht="23" customHeight="1">
      <x:c r="A21" s="3" t="n">
        <x:v>9</x:v>
      </x:c>
      <x:c r="B21" s="3" t="str">
        <x:v>O-1008</x:v>
      </x:c>
      <x:c r="C21" s="13" t="n">
        <x:v>46281</x:v>
      </x:c>
      <x:c r="D21" s="3" t="str">
        <x:v>Shop H</x:v>
      </x:c>
      <x:c r="E21" s="3" t="str">
        <x:v>Pen set</x:v>
      </x:c>
      <x:c r="F21" s="8" t="n">
        <x:v>2</x:v>
      </x:c>
      <x:c r="G21" s="7" t="n">
        <x:v>8</x:v>
      </x:c>
      <x:c r="H21" s="7" t="n">
        <x:f>IF(COUNT(F21:G21)=2,F21*G21,"")</x:f>
        <x:v>16</x:v>
      </x:c>
      <x:c r="I21" s="3" t="str">
        <x:f>IF(ISNUMBER(C21),IF(ISNUMBER(F21),IF(ISNUMBER(G21),"Ready","Missing price"),"Missing quantity"),"Review date")</x:f>
        <x:v>Ready</x:v>
      </x:c>
    </x:row>
    <x:row r="22" ht="23" customHeight="1">
      <x:c r="A22" s="14" t="n">
        <x:v>10</x:v>
      </x:c>
      <x:c r="B22" s="14" t="str">
        <x:v>O-1009</x:v>
      </x:c>
      <x:c r="C22" s="15" t="n">
        <x:v>46281</x:v>
      </x:c>
      <x:c r="D22" s="14" t="str">
        <x:v>Shop I</x:v>
      </x:c>
      <x:c r="E22" s="14" t="str">
        <x:v>Desk mat</x:v>
      </x:c>
      <x:c r="F22" s="16" t="n">
        <x:v>1</x:v>
      </x:c>
      <x:c r="G22" s="17" t="n">
        <x:v>25</x:v>
      </x:c>
      <x:c r="H22" s="17" t="n">
        <x:f>IF(COUNT(F22:G22)=2,F22*G22,"")</x:f>
        <x:v>25</x:v>
      </x:c>
      <x:c r="I22" s="14" t="str">
        <x:f>IF(ISNUMBER(C22),IF(ISNUMBER(F22),IF(ISNUMBER(G22),"Ready","Missing price"),"Missing quantity"),"Review date")</x:f>
        <x:v>Ready</x:v>
      </x:c>
    </x:row>
    <x:row r="23" ht="23" customHeight="1">
      <x:c r="A23" s="3" t="n">
        <x:v>11</x:v>
      </x:c>
      <x:c r="B23" s="3" t="str">
        <x:v>O-1010</x:v>
      </x:c>
      <x:c r="C23" s="13" t="n">
        <x:v>46282</x:v>
      </x:c>
      <x:c r="D23" s="3" t="str">
        <x:v>Shop J</x:v>
      </x:c>
      <x:c r="E23" s="3" t="str">
        <x:v>Notebook</x:v>
      </x:c>
      <x:c r="F23" s="8"/>
      <x:c r="G23" s="7" t="n">
        <x:v>12.5</x:v>
      </x:c>
      <x:c r="H23" s="7" t="str">
        <x:f>IF(COUNT(F23:G23)=2,F23*G23,"")</x:f>
      </x:c>
      <x:c r="I23" s="3" t="str">
        <x:f>IF(ISNUMBER(C23),IF(ISNUMBER(F23),IF(ISNUMBER(G23),"Ready","Missing price"),"Missing quantity"),"Review date")</x:f>
        <x:v>Missing quantity</x:v>
      </x:c>
    </x:row>
    <x:row r="24" ht="23" customHeight="1">
      <x:c r="A24" s="14" t="n">
        <x:v>12</x:v>
      </x:c>
      <x:c r="B24" s="14" t="str">
        <x:v>O-1011</x:v>
      </x:c>
      <x:c r="C24" s="15" t="n">
        <x:v>46282</x:v>
      </x:c>
      <x:c r="D24" s="14" t="str">
        <x:v>Shop K</x:v>
      </x:c>
      <x:c r="E24" s="14" t="str">
        <x:v>Pen set</x:v>
      </x:c>
      <x:c r="F24" s="16" t="n">
        <x:v>4</x:v>
      </x:c>
      <x:c r="G24" s="17" t="n">
        <x:v>8</x:v>
      </x:c>
      <x:c r="H24" s="17" t="n">
        <x:f>IF(COUNT(F24:G24)=2,F24*G24,"")</x:f>
        <x:v>32</x:v>
      </x:c>
      <x:c r="I24" s="14" t="str">
        <x:f>IF(ISNUMBER(C24),IF(ISNUMBER(F24),IF(ISNUMBER(G24),"Ready","Missing price"),"Missing quantity"),"Review date")</x:f>
        <x:v>Ready</x:v>
      </x:c>
    </x:row>
    <x:row r="25" ht="23" customHeight="1">
      <x:c r="A25" s="3" t="n">
        <x:v>13</x:v>
      </x:c>
      <x:c r="B25" s="3" t="str">
        <x:v>O-1012</x:v>
      </x:c>
      <x:c r="C25" s="13" t="n">
        <x:v>46283</x:v>
      </x:c>
      <x:c r="D25" s="3" t="str">
        <x:v>Shop L</x:v>
      </x:c>
      <x:c r="E25" s="3" t="str">
        <x:v>Desk mat</x:v>
      </x:c>
      <x:c r="F25" s="8" t="n">
        <x:v>3</x:v>
      </x:c>
      <x:c r="G25" s="7" t="n">
        <x:v>25</x:v>
      </x:c>
      <x:c r="H25" s="7" t="n">
        <x:f>IF(COUNT(F25:G25)=2,F25*G25,"")</x:f>
        <x:v>75</x:v>
      </x:c>
      <x:c r="I25" s="3" t="str">
        <x:f>IF(ISNUMBER(C25),IF(ISNUMBER(F25),IF(ISNUMBER(G25),"Ready","Missing price"),"Missing quantity"),"Review date")</x:f>
        <x:v>Ready</x:v>
      </x:c>
    </x:row>
    <x:row r="26" ht="23" customHeight="1">
      <x:c r="A26" s="14" t="n">
        <x:v>14</x:v>
      </x:c>
      <x:c r="B26" s="14" t="str">
        <x:v>O-1013</x:v>
      </x:c>
      <x:c r="C26" s="15" t="n">
        <x:v>46283</x:v>
      </x:c>
      <x:c r="D26" s="14" t="str">
        <x:v>Shop M</x:v>
      </x:c>
      <x:c r="E26" s="14" t="str">
        <x:v>Notebook</x:v>
      </x:c>
      <x:c r="F26" s="16" t="n">
        <x:v>2</x:v>
      </x:c>
      <x:c r="G26" s="17" t="n">
        <x:v>12.5</x:v>
      </x:c>
      <x:c r="H26" s="17" t="n">
        <x:f>IF(COUNT(F26:G26)=2,F26*G26,"")</x:f>
        <x:v>25</x:v>
      </x:c>
      <x:c r="I26" s="14" t="str">
        <x:f>IF(ISNUMBER(C26),IF(ISNUMBER(F26),IF(ISNUMBER(G26),"Ready","Missing price"),"Missing quantity"),"Review date")</x:f>
        <x:v>Ready</x:v>
      </x:c>
    </x:row>
    <x:row r="27" ht="23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3" customHeight="1">
      <x:c r="A28" s="3"/>
      <x:c r="B28" s="3"/>
      <x:c r="C28" s="3"/>
      <x:c r="D28" s="3"/>
      <x:c r="E28" s="3"/>
      <x:c r="F28" s="3"/>
      <x:c r="G28" s="3"/>
      <x:c r="H28" s="3"/>
      <x:c r="I28" s="3"/>
    </x:row>
  </x:sheetData>
  <x:conditionalFormatting sqref="I14:I26">
    <x:cfRule type="expression" dxfId="0" priority="1">
      <x:formula>I14&lt;&gt;"Ready"</x:formula>
    </x:cfRule>
  </x:conditionalFormatting>
  <x:conditionalFormatting sqref="C14:C26">
    <x:cfRule type="containsBlanks" dxfId="1" priority="2"/>
  </x:conditionalFormatting>
  <x:conditionalFormatting sqref="F14:G26">
    <x:cfRule type="containsBlanks" dxfId="2" priority="3"/>
  </x:conditionalFormatting>
  <x:pageMargins left="0.7" right="0.7" top="0.75" bottom="0.75" header="0.3" footer="0.3"/>
  <x:tableParts count="1">
    <x:tablePart xmlns:r="http://schemas.openxmlformats.org/officeDocument/2006/relationships" r:id="R78fb9e50a93145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18" hidden="0" customWidth="1"/>
    <x:col min="5" max="5" width="21" hidden="0" customWidth="1"/>
    <x:col min="6" max="6" width="16" hidden="0" customWidth="1"/>
    <x:col min="7" max="7" width="15" hidden="0" customWidth="1"/>
    <x:col min="8" max="8" width="40" hidden="0" customWidth="1"/>
  </x:cols>
  <x:sheetData>
    <x:row r="1" ht="23" customHeight="1">
      <x:c r="A1" s="3"/>
      <x:c r="B1" s="3"/>
      <x:c r="C1" s="3"/>
      <x:c r="D1" s="3"/>
      <x:c r="E1" s="3"/>
      <x:c r="F1" s="3"/>
      <x:c r="G1" s="3"/>
      <x:c r="H1" s="3"/>
    </x:row>
    <x:row r="2" ht="23" customHeight="1">
      <x:c r="A2" s="4" t="str">
        <x:v>Original input preserved</x:v>
      </x:c>
      <x:c r="B2" s="3"/>
      <x:c r="C2" s="3"/>
      <x:c r="D2" s="3"/>
      <x:c r="E2" s="3"/>
      <x:c r="F2" s="3"/>
      <x:c r="G2" s="3"/>
      <x:c r="H2" s="3"/>
    </x:row>
    <x:row r="3" ht="23" customHeight="1">
      <x:c r="A3" s="6" t="str">
        <x:v>Source: 15 synthetic records authored for this example. No customer data.</x:v>
      </x:c>
      <x:c r="B3" s="5"/>
      <x:c r="C3" s="5"/>
      <x:c r="D3" s="5"/>
      <x:c r="E3" s="5"/>
      <x:c r="F3" s="5"/>
      <x:c r="G3" s="5"/>
      <x:c r="H3" s="5"/>
    </x:row>
    <x:row r="4" ht="23" customHeight="1">
      <x:c r="A4" s="12" t="str">
        <x:v>Text values intentionally retain spacing, mixed date styles and duplicate rows.</x:v>
      </x:c>
      <x:c r="B4" s="3"/>
      <x:c r="C4" s="3"/>
      <x:c r="D4" s="3"/>
      <x:c r="E4" s="3"/>
      <x:c r="F4" s="3"/>
      <x:c r="G4" s="3"/>
      <x:c r="H4" s="3"/>
    </x:row>
    <x:row r="5" ht="23" customHeight="1">
      <x:c r="A5" s="3"/>
      <x:c r="B5" s="3"/>
      <x:c r="C5" s="3"/>
      <x:c r="D5" s="3"/>
      <x:c r="E5" s="3"/>
      <x:c r="F5" s="3"/>
      <x:c r="G5" s="3"/>
      <x:c r="H5" s="3"/>
    </x:row>
    <x:row r="6" ht="23" customHeight="1">
      <x:c r="A6" s="3"/>
      <x:c r="B6" s="3"/>
      <x:c r="C6" s="3"/>
      <x:c r="D6" s="3"/>
      <x:c r="E6" s="3"/>
      <x:c r="F6" s="3"/>
      <x:c r="G6" s="3"/>
      <x:c r="H6" s="3"/>
    </x:row>
    <x:row r="7" ht="28" customHeight="1">
      <x:c r="A7" s="20" t="str">
        <x:v>Source row</x:v>
      </x:c>
      <x:c r="B7" s="20" t="str">
        <x:v>Order ID</x:v>
      </x:c>
      <x:c r="C7" s="20" t="str">
        <x:v>Date text</x:v>
      </x:c>
      <x:c r="D7" s="20" t="str">
        <x:v>Customer</x:v>
      </x:c>
      <x:c r="E7" s="20" t="str">
        <x:v>Item</x:v>
      </x:c>
      <x:c r="F7" s="20" t="str">
        <x:v>Quantity text</x:v>
      </x:c>
      <x:c r="G7" s="20" t="str">
        <x:v>Price text</x:v>
      </x:c>
      <x:c r="H7" s="20" t="str">
        <x:v>Source issue</x:v>
      </x:c>
    </x:row>
    <x:row r="8" ht="23" customHeight="1">
      <x:c r="A8" s="14" t="n">
        <x:v>1</x:v>
      </x:c>
      <x:c r="B8" s="22" t="str">
        <x:v> O-1001 </x:v>
      </x:c>
      <x:c r="C8" s="22" t="str">
        <x:v>2026-09-13</x:v>
      </x:c>
      <x:c r="D8" s="22" t="str">
        <x:v> Shop A </x:v>
      </x:c>
      <x:c r="E8" s="22" t="str">
        <x:v>Notebook</x:v>
      </x:c>
      <x:c r="F8" s="22" t="str">
        <x:v>2</x:v>
      </x:c>
      <x:c r="G8" s="22" t="str">
        <x:v>12.50</x:v>
      </x:c>
      <x:c r="H8" s="14" t="str"/>
    </x:row>
    <x:row r="9" ht="23" customHeight="1">
      <x:c r="A9" s="3" t="n">
        <x:v>2</x:v>
      </x:c>
      <x:c r="B9" s="21" t="str">
        <x:v>O-1002</x:v>
      </x:c>
      <x:c r="C9" s="21" t="str">
        <x:v>Sep 13, 2026</x:v>
      </x:c>
      <x:c r="D9" s="21" t="str">
        <x:v>Shop B</x:v>
      </x:c>
      <x:c r="E9" s="21" t="str">
        <x:v> Pen set </x:v>
      </x:c>
      <x:c r="F9" s="21" t="str">
        <x:v>3</x:v>
      </x:c>
      <x:c r="G9" s="21" t="str">
        <x:v> $8.00 </x:v>
      </x:c>
      <x:c r="H9" s="3" t="str"/>
    </x:row>
    <x:row r="10" ht="23" customHeight="1">
      <x:c r="A10" s="14" t="n">
        <x:v>3</x:v>
      </x:c>
      <x:c r="B10" s="22" t="str">
        <x:v>O-1003</x:v>
      </x:c>
      <x:c r="C10" s="22" t="str">
        <x:v>9/14/2026</x:v>
      </x:c>
      <x:c r="D10" s="22" t="str">
        <x:v>Shop C</x:v>
      </x:c>
      <x:c r="E10" s="22" t="str">
        <x:v>Desk mat</x:v>
      </x:c>
      <x:c r="F10" s="22" t="str">
        <x:v>1</x:v>
      </x:c>
      <x:c r="G10" s="22" t="str">
        <x:v>25.00</x:v>
      </x:c>
      <x:c r="H10" s="14" t="str"/>
    </x:row>
    <x:row r="11" ht="23" customHeight="1">
      <x:c r="A11" s="3" t="n">
        <x:v>4</x:v>
      </x:c>
      <x:c r="B11" s="21" t="str">
        <x:v>O-1002</x:v>
      </x:c>
      <x:c r="C11" s="21" t="str">
        <x:v>Sep 13, 2026</x:v>
      </x:c>
      <x:c r="D11" s="21" t="str">
        <x:v>Shop B</x:v>
      </x:c>
      <x:c r="E11" s="21" t="str">
        <x:v> Pen set </x:v>
      </x:c>
      <x:c r="F11" s="21" t="str">
        <x:v>3</x:v>
      </x:c>
      <x:c r="G11" s="21" t="str">
        <x:v> $8.00 </x:v>
      </x:c>
      <x:c r="H11" s="3" t="str">
        <x:v>Exact repeat of source row 2</x:v>
      </x:c>
    </x:row>
    <x:row r="12" ht="23" customHeight="1">
      <x:c r="A12" s="14" t="n">
        <x:v>5</x:v>
      </x:c>
      <x:c r="B12" s="22" t="str">
        <x:v>O-1004</x:v>
      </x:c>
      <x:c r="C12" s="22" t="str">
        <x:v>2026-09-14</x:v>
      </x:c>
      <x:c r="D12" s="22" t="str">
        <x:v>Shop D</x:v>
      </x:c>
      <x:c r="E12" s="22" t="str">
        <x:v>Notebook</x:v>
      </x:c>
      <x:c r="F12" s="22" t="str">
        <x:v>4</x:v>
      </x:c>
      <x:c r="G12" s="22" t="str">
        <x:v>12.50</x:v>
      </x:c>
      <x:c r="H12" s="14" t="str"/>
    </x:row>
    <x:row r="13" ht="23" customHeight="1">
      <x:c r="A13" s="3" t="n">
        <x:v>6</x:v>
      </x:c>
      <x:c r="B13" s="21" t="str">
        <x:v>O-1005</x:v>
      </x:c>
      <x:c r="C13" s="21" t="str">
        <x:v>15 Sep 2026</x:v>
      </x:c>
      <x:c r="D13" s="21" t="str">
        <x:v> Shop E</x:v>
      </x:c>
      <x:c r="E13" s="21" t="str">
        <x:v>Pen set</x:v>
      </x:c>
      <x:c r="F13" s="21" t="str">
        <x:v>5</x:v>
      </x:c>
      <x:c r="G13" s="21" t="str">
        <x:v>8.00</x:v>
      </x:c>
      <x:c r="H13" s="3" t="str"/>
    </x:row>
    <x:row r="14" ht="23" customHeight="1">
      <x:c r="A14" s="14" t="n">
        <x:v>7</x:v>
      </x:c>
      <x:c r="B14" s="22" t="str">
        <x:v>O-1006</x:v>
      </x:c>
      <x:c r="C14" s="22" t="str">
        <x:v>2026-09-15</x:v>
      </x:c>
      <x:c r="D14" s="22" t="str">
        <x:v>Shop F </x:v>
      </x:c>
      <x:c r="E14" s="22" t="str">
        <x:v>Desk mat</x:v>
      </x:c>
      <x:c r="F14" s="22" t="str">
        <x:v>2</x:v>
      </x:c>
      <x:c r="G14" s="22" t="str">
        <x:v>25.00</x:v>
      </x:c>
      <x:c r="H14" s="14" t="str"/>
    </x:row>
    <x:row r="15" ht="23" customHeight="1">
      <x:c r="A15" s="3" t="n">
        <x:v>8</x:v>
      </x:c>
      <x:c r="B15" s="21" t="str">
        <x:v>O-1007</x:v>
      </x:c>
      <x:c r="C15" s="21" t="str">
        <x:v>09/10/2026</x:v>
      </x:c>
      <x:c r="D15" s="21" t="str">
        <x:v>Shop G</x:v>
      </x:c>
      <x:c r="E15" s="21" t="str">
        <x:v>Notebook</x:v>
      </x:c>
      <x:c r="F15" s="21" t="str">
        <x:v>3</x:v>
      </x:c>
      <x:c r="G15" s="21" t="str">
        <x:v>12.50</x:v>
      </x:c>
      <x:c r="H15" s="3" t="str">
        <x:v>Date convention unknown</x:v>
      </x:c>
    </x:row>
    <x:row r="16" ht="23" customHeight="1">
      <x:c r="A16" s="14" t="n">
        <x:v>9</x:v>
      </x:c>
      <x:c r="B16" s="22" t="str">
        <x:v>O-1008</x:v>
      </x:c>
      <x:c r="C16" s="22" t="str">
        <x:v>2026-09-16</x:v>
      </x:c>
      <x:c r="D16" s="22" t="str">
        <x:v>Shop H</x:v>
      </x:c>
      <x:c r="E16" s="22" t="str">
        <x:v>Pen set</x:v>
      </x:c>
      <x:c r="F16" s="22" t="str">
        <x:v>2</x:v>
      </x:c>
      <x:c r="G16" s="22" t="str">
        <x:v>8.00</x:v>
      </x:c>
      <x:c r="H16" s="14" t="str"/>
    </x:row>
    <x:row r="17" ht="23" customHeight="1">
      <x:c r="A17" s="3" t="n">
        <x:v>10</x:v>
      </x:c>
      <x:c r="B17" s="21" t="str">
        <x:v>O-1009</x:v>
      </x:c>
      <x:c r="C17" s="21" t="str">
        <x:v>9/16/2026</x:v>
      </x:c>
      <x:c r="D17" s="21" t="str">
        <x:v>Shop I</x:v>
      </x:c>
      <x:c r="E17" s="21" t="str">
        <x:v>Desk mat</x:v>
      </x:c>
      <x:c r="F17" s="21" t="str">
        <x:v>1</x:v>
      </x:c>
      <x:c r="G17" s="21" t="str">
        <x:v>25.00</x:v>
      </x:c>
      <x:c r="H17" s="3" t="str"/>
    </x:row>
    <x:row r="18" ht="23" customHeight="1">
      <x:c r="A18" s="14" t="n">
        <x:v>11</x:v>
      </x:c>
      <x:c r="B18" s="22" t="str">
        <x:v>O-1010</x:v>
      </x:c>
      <x:c r="C18" s="22" t="str">
        <x:v>2026-09-17</x:v>
      </x:c>
      <x:c r="D18" s="22" t="str">
        <x:v>Shop J</x:v>
      </x:c>
      <x:c r="E18" s="22" t="str">
        <x:v>Notebook</x:v>
      </x:c>
      <x:c r="F18" s="22" t="str"/>
      <x:c r="G18" s="22" t="str">
        <x:v>12.50</x:v>
      </x:c>
      <x:c r="H18" s="14" t="str">
        <x:v>Quantity absent</x:v>
      </x:c>
    </x:row>
    <x:row r="19" ht="23" customHeight="1">
      <x:c r="A19" s="3" t="n">
        <x:v>12</x:v>
      </x:c>
      <x:c r="B19" s="21" t="str">
        <x:v>O-1011</x:v>
      </x:c>
      <x:c r="C19" s="21" t="str">
        <x:v>Sep 17, 2026</x:v>
      </x:c>
      <x:c r="D19" s="21" t="str">
        <x:v>Shop K</x:v>
      </x:c>
      <x:c r="E19" s="21" t="str">
        <x:v>Pen set</x:v>
      </x:c>
      <x:c r="F19" s="21" t="str">
        <x:v>4</x:v>
      </x:c>
      <x:c r="G19" s="21" t="str">
        <x:v>8.00</x:v>
      </x:c>
      <x:c r="H19" s="3" t="str"/>
    </x:row>
    <x:row r="20" ht="23" customHeight="1">
      <x:c r="A20" s="14" t="n">
        <x:v>13</x:v>
      </x:c>
      <x:c r="B20" s="22" t="str">
        <x:v>O-1012</x:v>
      </x:c>
      <x:c r="C20" s="22" t="str">
        <x:v>2026-09-18</x:v>
      </x:c>
      <x:c r="D20" s="22" t="str">
        <x:v>Shop L</x:v>
      </x:c>
      <x:c r="E20" s="22" t="str">
        <x:v>Desk mat</x:v>
      </x:c>
      <x:c r="F20" s="22" t="str">
        <x:v>3</x:v>
      </x:c>
      <x:c r="G20" s="22" t="str">
        <x:v>25.00</x:v>
      </x:c>
      <x:c r="H20" s="14" t="str"/>
    </x:row>
    <x:row r="21" ht="23" customHeight="1">
      <x:c r="A21" s="3" t="n">
        <x:v>14</x:v>
      </x:c>
      <x:c r="B21" s="21" t="str">
        <x:v>O-1013</x:v>
      </x:c>
      <x:c r="C21" s="21" t="str">
        <x:v>18 Sep 2026</x:v>
      </x:c>
      <x:c r="D21" s="21" t="str">
        <x:v>Shop M</x:v>
      </x:c>
      <x:c r="E21" s="21" t="str">
        <x:v>Notebook</x:v>
      </x:c>
      <x:c r="F21" s="21" t="str">
        <x:v>2</x:v>
      </x:c>
      <x:c r="G21" s="21" t="str">
        <x:v>12.50</x:v>
      </x:c>
      <x:c r="H21" s="3" t="str"/>
    </x:row>
    <x:row r="22" ht="23" customHeight="1">
      <x:c r="A22" s="14" t="n">
        <x:v>15</x:v>
      </x:c>
      <x:c r="B22" s="22" t="str">
        <x:v>O-1006</x:v>
      </x:c>
      <x:c r="C22" s="22" t="str">
        <x:v>2026-09-15</x:v>
      </x:c>
      <x:c r="D22" s="22" t="str">
        <x:v>Shop F </x:v>
      </x:c>
      <x:c r="E22" s="22" t="str">
        <x:v>Desk mat</x:v>
      </x:c>
      <x:c r="F22" s="22" t="str">
        <x:v>2</x:v>
      </x:c>
      <x:c r="G22" s="22" t="str">
        <x:v>25.00</x:v>
      </x:c>
      <x:c r="H22" s="14" t="str">
        <x:v>Exact repeat of source row 7</x:v>
      </x:c>
    </x:row>
    <x:row r="23" ht="23" customHeight="1">
      <x:c r="A23" s="3"/>
      <x:c r="B23" s="3"/>
      <x:c r="C23" s="3"/>
      <x:c r="D23" s="3"/>
      <x:c r="E23" s="3"/>
      <x:c r="F23" s="3"/>
      <x:c r="G23" s="3"/>
      <x:c r="H23" s="3"/>
    </x:row>
    <x:row r="24" ht="23" customHeight="1">
      <x:c r="A24" s="3"/>
      <x:c r="B24" s="3"/>
      <x:c r="C24" s="3"/>
      <x:c r="D24" s="3"/>
      <x:c r="E24" s="3"/>
      <x:c r="F24" s="3"/>
      <x:c r="G24" s="3"/>
      <x:c r="H24" s="3"/>
    </x:row>
    <x:row r="25" ht="23" customHeight="1">
      <x:c r="A25" s="3"/>
      <x:c r="B25" s="3"/>
      <x:c r="C25" s="3"/>
      <x:c r="D25" s="3"/>
      <x:c r="E25" s="3"/>
      <x:c r="F25" s="3"/>
      <x:c r="G25" s="3"/>
      <x:c r="H25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796A5"/>
  </x:sheetPr>
  <x:sheetViews>
    <x:sheetView showGridLines="0" workbookViewId="0"/>
  </x:sheetViews>
  <x:sheetFormatPr defaultRowHeight="15"/>
  <x:cols>
    <x:col min="1" max="1" width="31" hidden="0" customWidth="1"/>
    <x:col min="2" max="2" width="106" hidden="0" customWidth="1"/>
    <x:col min="3" max="3" width="16" hidden="0" customWidth="1"/>
    <x:col min="4" max="4" width="24" hidden="0" customWidth="1"/>
  </x:cols>
  <x:sheetData>
    <x:row r="1" ht="23" customHeight="1">
      <x:c r="A1" s="3"/>
      <x:c r="B1" s="3"/>
      <x:c r="C1" s="3"/>
      <x:c r="D1" s="3"/>
    </x:row>
    <x:row r="2" ht="23" customHeight="1">
      <x:c r="A2" s="4" t="str">
        <x:v>Changes and assumptions</x:v>
      </x:c>
      <x:c r="B2" s="3"/>
      <x:c r="C2" s="3"/>
      <x:c r="D2" s="3"/>
    </x:row>
    <x:row r="3" ht="23" customHeight="1">
      <x:c r="A3" s="5"/>
      <x:c r="B3" s="5"/>
      <x:c r="C3" s="5"/>
      <x:c r="D3" s="5"/>
    </x:row>
    <x:row r="4" ht="28" customHeight="1">
      <x:c r="A4" s="20" t="str">
        <x:v>Treatment</x:v>
      </x:c>
      <x:c r="B4" s="20" t="str">
        <x:v>Rule applied in this synthetic example</x:v>
      </x:c>
      <x:c r="C4" s="3"/>
      <x:c r="D4" s="3"/>
    </x:row>
    <x:row r="5" ht="23" customHeight="1">
      <x:c r="A5" s="3" t="str">
        <x:v>Whitespace</x:v>
      </x:c>
      <x:c r="B5" s="3" t="str">
        <x:v>Trimmed leading and trailing spaces in identifiers, customer and item fields.</x:v>
      </x:c>
      <x:c r="C5" s="3"/>
      <x:c r="D5" s="3"/>
    </x:row>
    <x:row r="6" ht="23" customHeight="1">
      <x:c r="A6" s="14" t="str">
        <x:v>Numbers</x:v>
      </x:c>
      <x:c r="B6" s="14" t="str">
        <x:v>Converted plain numeric text and dollar-prefixed prices to numeric cells.</x:v>
      </x:c>
      <x:c r="C6" s="3"/>
      <x:c r="D6" s="3"/>
    </x:row>
    <x:row r="7" ht="23" customHeight="1">
      <x:c r="A7" s="3" t="str">
        <x:v>Duplicates</x:v>
      </x:c>
      <x:c r="B7" s="3" t="str">
        <x:v>Removed source rows 4 and 15 only. Each exactly repeats all six original fields.</x:v>
      </x:c>
      <x:c r="C7" s="3"/>
      <x:c r="D7" s="3"/>
    </x:row>
    <x:row r="8" ht="23" customHeight="1">
      <x:c r="A8" s="14" t="str">
        <x:v>Dates</x:v>
      </x:c>
      <x:c r="B8" s="14" t="str">
        <x:v>Converted ISO, named-month and unambiguous slash dates to sortable dates.</x:v>
      </x:c>
      <x:c r="C8" s="3"/>
      <x:c r="D8" s="3"/>
    </x:row>
    <x:row r="9" ht="23" customHeight="1">
      <x:c r="A9" s="3" t="str">
        <x:v>Uncertain date</x:v>
      </x:c>
      <x:c r="B9" s="3" t="str">
        <x:v>Source row 8: 09/10/2026 could mean September 10 or October 9. Date left blank.</x:v>
      </x:c>
      <x:c r="C9" s="3"/>
      <x:c r="D9" s="3"/>
    </x:row>
    <x:row r="10" ht="23" customHeight="1">
      <x:c r="A10" s="14" t="str">
        <x:v>Missing quantity</x:v>
      </x:c>
      <x:c r="B10" s="14" t="str">
        <x:v>Source row 11: quantity and line total remain blank until confirmed.</x:v>
      </x:c>
      <x:c r="C10" s="3"/>
      <x:c r="D10" s="3"/>
    </x:row>
    <x:row r="11" ht="23" customHeight="1">
      <x:c r="A11" s="3" t="str">
        <x:v>Scope</x:v>
      </x:c>
      <x:c r="B11" s="3" t="str">
        <x:v>One row represents one order item. Totals exclude tax, shipping, refunds and fees.</x:v>
      </x:c>
      <x:c r="C11" s="3"/>
      <x:c r="D11" s="3"/>
    </x:row>
    <x:row r="12" ht="23" customHeight="1">
      <x:c r="A12" s="3"/>
      <x:c r="B12" s="3"/>
      <x:c r="C12" s="3"/>
      <x:c r="D12" s="3"/>
    </x:row>
    <x:row r="13" ht="23" customHeight="1">
      <x:c r="A13" s="9" t="str">
        <x:v>Reconciliation</x:v>
      </x:c>
      <x:c r="B13" s="3"/>
      <x:c r="C13" s="3"/>
      <x:c r="D13" s="3"/>
    </x:row>
    <x:row r="14" ht="23" customHeight="1">
      <x:c r="A14" s="3"/>
      <x:c r="B14" s="3"/>
      <x:c r="C14" s="3"/>
      <x:c r="D14" s="12" t="str">
        <x:v>Source rows 1 through 15</x:v>
      </x:c>
    </x:row>
    <x:row r="15" ht="28" customHeight="1">
      <x:c r="A15" s="20" t="str">
        <x:v>Measure</x:v>
      </x:c>
      <x:c r="B15" s="20" t="str">
        <x:v>How it is checked</x:v>
      </x:c>
      <x:c r="C15" s="20" t="str">
        <x:v>Result</x:v>
      </x:c>
      <x:c r="D15" s="20" t="str">
        <x:v>Known amount (USD)</x:v>
      </x:c>
    </x:row>
    <x:row r="16" ht="23" customHeight="1">
      <x:c r="A16" s="3" t="str">
        <x:v>Original records</x:v>
      </x:c>
      <x:c r="B16" s="3" t="str">
        <x:v>Count preserved source rows</x:v>
      </x:c>
      <x:c r="C16" s="3" t="n">
        <x:f>COUNTA('Original input'!A8:A22)</x:f>
        <x:v>15</x:v>
      </x:c>
      <x:c r="D16" s="7" t="n">
        <x:f>IF('Original input'!F8="","",VALUE(TRIM('Original input'!F8))*VALUE(TRIM('Original input'!G8)))</x:f>
        <x:v>25</x:v>
      </x:c>
    </x:row>
    <x:row r="17" ht="23" customHeight="1">
      <x:c r="A17" s="3" t="str">
        <x:v>Duplicate records removed</x:v>
      </x:c>
      <x:c r="B17" s="3" t="str">
        <x:v>Two exact repeated source rows</x:v>
      </x:c>
      <x:c r="C17" s="3" t="n">
        <x:f>2</x:f>
        <x:v>2</x:v>
      </x:c>
      <x:c r="D17" s="7" t="n">
        <x:f>IF('Original input'!F9="","",VALUE(TRIM('Original input'!F9))*VALUE(TRIM(SUBSTITUTE('Original input'!G9,"$",""))))</x:f>
        <x:v>24</x:v>
      </x:c>
    </x:row>
    <x:row r="18" ht="23" customHeight="1">
      <x:c r="A18" s="3" t="str">
        <x:v>Retained records</x:v>
      </x:c>
      <x:c r="B18" s="3" t="str">
        <x:v>Count cleaned order IDs</x:v>
      </x:c>
      <x:c r="C18" s="3" t="n">
        <x:f>COUNTA('Cleaned report'!B14:B26)</x:f>
        <x:v>13</x:v>
      </x:c>
      <x:c r="D18" s="7" t="n">
        <x:f>IF('Original input'!F10="","",VALUE(TRIM('Original input'!F10))*VALUE(TRIM('Original input'!G10)))</x:f>
        <x:v>25</x:v>
      </x:c>
    </x:row>
    <x:row r="19" ht="23" customHeight="1">
      <x:c r="A19" s="3" t="str">
        <x:v>Record difference</x:v>
      </x:c>
      <x:c r="B19" s="3" t="str">
        <x:v>Original minus removed minus retained. Expected 0.</x:v>
      </x:c>
      <x:c r="C19" s="3" t="n">
        <x:f>C16-C17-C18</x:f>
        <x:v>0</x:v>
      </x:c>
      <x:c r="D19" s="7" t="n">
        <x:f>IF('Original input'!F11="","",VALUE(TRIM('Original input'!F11))*VALUE(TRIM(SUBSTITUTE('Original input'!G11,"$",""))))</x:f>
        <x:v>24</x:v>
      </x:c>
    </x:row>
    <x:row r="20" ht="23" customHeight="1">
      <x:c r="A20" s="3" t="str">
        <x:v>Amount difference (USD)</x:v>
      </x:c>
      <x:c r="B20" s="3" t="str">
        <x:v>Known source amounts minus duplicates minus cleaned known amounts. Expected 0.</x:v>
      </x:c>
      <x:c r="C20" s="7" t="n">
        <x:f>SUM(D16:D30)-D19-D30-SUM('Cleaned report'!H14:H26)</x:f>
        <x:v>0</x:v>
      </x:c>
      <x:c r="D20" s="7" t="n">
        <x:f>IF('Original input'!F12="","",VALUE(TRIM('Original input'!F12))*VALUE(TRIM('Original input'!G12)))</x:f>
        <x:v>50</x:v>
      </x:c>
    </x:row>
    <x:row r="21" ht="23" customHeight="1">
      <x:c r="A21" s="3"/>
      <x:c r="B21" s="3"/>
      <x:c r="C21" s="3"/>
      <x:c r="D21" s="7" t="n">
        <x:f>IF('Original input'!F13="","",VALUE(TRIM('Original input'!F13))*VALUE(TRIM('Original input'!G13)))</x:f>
        <x:v>40</x:v>
      </x:c>
    </x:row>
    <x:row r="22" ht="23" customHeight="1">
      <x:c r="A22" s="3"/>
      <x:c r="B22" s="3"/>
      <x:c r="C22" s="3"/>
      <x:c r="D22" s="7" t="n">
        <x:f>IF('Original input'!F14="","",VALUE(TRIM('Original input'!F14))*VALUE(TRIM('Original input'!G14)))</x:f>
        <x:v>50</x:v>
      </x:c>
    </x:row>
    <x:row r="23" ht="23" customHeight="1">
      <x:c r="A23" s="3"/>
      <x:c r="B23" s="3"/>
      <x:c r="C23" s="3"/>
      <x:c r="D23" s="7" t="n">
        <x:f>IF('Original input'!F15="","",VALUE(TRIM('Original input'!F15))*VALUE(TRIM('Original input'!G15)))</x:f>
        <x:v>37.5</x:v>
      </x:c>
    </x:row>
    <x:row r="24" ht="23" customHeight="1">
      <x:c r="A24" s="9" t="str">
        <x:v>Decisions required for real data</x:v>
      </x:c>
      <x:c r="B24" s="3"/>
      <x:c r="C24" s="3"/>
      <x:c r="D24" s="7" t="n">
        <x:f>IF('Original input'!F16="","",VALUE(TRIM('Original input'!F16))*VALUE(TRIM('Original input'!G16)))</x:f>
        <x:v>16</x:v>
      </x:c>
    </x:row>
    <x:row r="25" ht="23" customHeight="1">
      <x:c r="A25" s="3" t="str">
        <x:v>Confirm duplicate rules, date convention, missing quantities and order-line meaning with the client.</x:v>
      </x:c>
      <x:c r="B25" s="3"/>
      <x:c r="C25" s="3"/>
      <x:c r="D25" s="7" t="n">
        <x:f>IF('Original input'!F17="","",VALUE(TRIM('Original input'!F17))*VALUE(TRIM('Original input'!G17)))</x:f>
        <x:v>25</x:v>
      </x:c>
    </x:row>
    <x:row r="26" ht="23" customHeight="1">
      <x:c r="A26" s="3" t="str">
        <x:v>This demo is a fixed example. New rows require refreshed cleaning and updated formula ranges.</x:v>
      </x:c>
      <x:c r="B26" s="3"/>
      <x:c r="C26" s="3"/>
      <x:c r="D26" s="7" t="str">
        <x:f>IF('Original input'!F18="","",VALUE(TRIM('Original input'!F18))*VALUE(TRIM('Original input'!G18)))</x:f>
      </x:c>
    </x:row>
    <x:row r="27" ht="23" customHeight="1">
      <x:c r="A27" s="3" t="str">
        <x:v>Amber cells identify missing inputs or records awaiting a source decision.</x:v>
      </x:c>
      <x:c r="B27" s="3"/>
      <x:c r="C27" s="3"/>
      <x:c r="D27" s="7" t="n">
        <x:f>IF('Original input'!F19="","",VALUE(TRIM('Original input'!F19))*VALUE(TRIM('Original input'!G19)))</x:f>
        <x:v>32</x:v>
      </x:c>
    </x:row>
    <x:row r="28" ht="23" customHeight="1">
      <x:c r="A28" s="3"/>
      <x:c r="B28" s="3"/>
      <x:c r="C28" s="3"/>
      <x:c r="D28" s="7" t="n">
        <x:f>IF('Original input'!F20="","",VALUE(TRIM('Original input'!F20))*VALUE(TRIM('Original input'!G20)))</x:f>
        <x:v>75</x:v>
      </x:c>
    </x:row>
    <x:row r="29" ht="23" customHeight="1">
      <x:c r="A29" s="3"/>
      <x:c r="B29" s="3"/>
      <x:c r="C29" s="3"/>
      <x:c r="D29" s="7" t="n">
        <x:f>IF('Original input'!F21="","",VALUE(TRIM('Original input'!F21))*VALUE(TRIM('Original input'!G21)))</x:f>
        <x:v>25</x:v>
      </x:c>
    </x:row>
    <x:row r="30">
      <x:c r="D30" s="23" t="n">
        <x:f>IF('Original input'!F22="","",VALUE(TRIM('Original input'!F22))*VALUE(TRIM('Original input'!G22)))</x:f>
        <x:v>50</x:v>
      </x:c>
    </x:row>
  </x:sheetData>
  <x:conditionalFormatting sqref="C19:C20">
    <x:cfRule type="cellIs" dxfId="3" priority="1" operator="notEqual">
      <x:formula>0</x:formula>
    </x:cfRule>
  </x:conditionalFormatting>
  <x:pageMargins left="0.7" right="0.7" top="0.75" bottom="0.75" header="0.3" footer="0.3"/>
</x:worksheet>
</file>